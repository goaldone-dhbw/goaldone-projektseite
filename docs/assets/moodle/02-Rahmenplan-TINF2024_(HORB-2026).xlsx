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BW\Vorlesungen\SWE\Projekt\INF2024\Originale\"/>
    </mc:Choice>
  </mc:AlternateContent>
  <xr:revisionPtr revIDLastSave="0" documentId="13_ncr:1_{D0833F7B-C722-417A-83A7-FD0DD5EF1566}" xr6:coauthVersionLast="47" xr6:coauthVersionMax="47" xr10:uidLastSave="{00000000-0000-0000-0000-000000000000}"/>
  <bookViews>
    <workbookView xWindow="29580" yWindow="-6825" windowWidth="43200" windowHeight="17235" xr2:uid="{00000000-000D-0000-FFFF-FFFF00000000}"/>
  </bookViews>
  <sheets>
    <sheet name="Timeline" sheetId="1" r:id="rId1"/>
    <sheet name="Aufgaben" sheetId="2" r:id="rId2"/>
  </sheets>
  <definedNames>
    <definedName name="DEADLINE_A1">Timeline!$B$22</definedName>
    <definedName name="DEADLINE_A2">Timeline!$C$23</definedName>
    <definedName name="DEADLINE_A3">Timeline!$D$24</definedName>
    <definedName name="DEADLINE_A4">Timeline!$E$25</definedName>
    <definedName name="DEADLINE_A5">Timeline!$F$26</definedName>
    <definedName name="DEADLINE_A6_1">Timeline!$G$27</definedName>
    <definedName name="DEADLINE_A6_2">Timeline!$H$27</definedName>
    <definedName name="DEADLINE_A6_3">Timeline!$I$27</definedName>
    <definedName name="DEADLINE_A6_4">Timeline!$J$27</definedName>
    <definedName name="DEADLINE_A7_END">Timeline!$K$29</definedName>
    <definedName name="_xlnm.Print_Area" localSheetId="1">Aufgaben!$A$1:$D$34</definedName>
    <definedName name="_xlnm.Print_Area" localSheetId="0">Timeline!$A$1:$M$31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EVIEW_DATE_1">Timeline!$E$15</definedName>
    <definedName name="REVIEW_DATE_2">Timeline!$G$16</definedName>
    <definedName name="REVIEW_DATE_3">Timeline!$I$17</definedName>
    <definedName name="REVIEW_DATE_4">Timeline!$K$18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C23" i="2"/>
  <c r="C20" i="2"/>
  <c r="C14" i="2"/>
  <c r="C11" i="2"/>
  <c r="C5" i="2"/>
</calcChain>
</file>

<file path=xl/sharedStrings.xml><?xml version="1.0" encoding="utf-8"?>
<sst xmlns="http://schemas.openxmlformats.org/spreadsheetml/2006/main" count="104" uniqueCount="86">
  <si>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</si>
  <si>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</si>
  <si>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</si>
  <si>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</si>
  <si>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</si>
  <si>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</si>
  <si>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</si>
  <si>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</si>
  <si>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</si>
  <si>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</si>
  <si>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</si>
  <si>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do</t>
  </si>
  <si>
    <t>Projekteinarbeitung</t>
  </si>
  <si>
    <t>Analyse</t>
  </si>
  <si>
    <t>Design</t>
  </si>
  <si>
    <t>Implementierung</t>
  </si>
  <si>
    <t>Projektmanagement</t>
  </si>
  <si>
    <t>Dokumentation</t>
  </si>
  <si>
    <t>Review 1 (Analysereview)</t>
  </si>
  <si>
    <t>Review 2 (Designreview)</t>
  </si>
  <si>
    <t>Review 3 (Codereview)</t>
  </si>
  <si>
    <t>Review 4 (Endabnahme)</t>
  </si>
  <si>
    <t>Evt. Nachbesserungen</t>
  </si>
  <si>
    <t>Abgabetermine</t>
  </si>
  <si>
    <t>Aufgabeblatt 1</t>
  </si>
  <si>
    <t>Aufgabeblatt 2</t>
  </si>
  <si>
    <t>Aufgabeblatt 3</t>
  </si>
  <si>
    <t>Aufgabeblatt 4</t>
  </si>
  <si>
    <t>Aufgabeblatt 5</t>
  </si>
  <si>
    <t>Aufgabeblatt 6</t>
  </si>
  <si>
    <t>Archivdatei</t>
  </si>
  <si>
    <t>Aufgabenfahrplan</t>
  </si>
  <si>
    <t>Aufgabenblatt</t>
  </si>
  <si>
    <t>Material</t>
  </si>
  <si>
    <t>Abgabefrist</t>
  </si>
  <si>
    <t>Pkt.</t>
  </si>
  <si>
    <t>erreicht:</t>
  </si>
  <si>
    <t>Aufgabenblatt 1 (10 Pkt)</t>
  </si>
  <si>
    <t>Projektplan</t>
  </si>
  <si>
    <t>Risikoanalyse</t>
  </si>
  <si>
    <t>Rollenverteilung</t>
  </si>
  <si>
    <t>Einrichtung Gruppenressourcen</t>
  </si>
  <si>
    <t>Aufgabenblatt 2 (8 Pkt)</t>
  </si>
  <si>
    <t>Internetrecherche</t>
  </si>
  <si>
    <t>Aufgabenblatt 3 (32 Pkt)</t>
  </si>
  <si>
    <t>Lastenheft + Glossar</t>
  </si>
  <si>
    <t>04-Review.pdf</t>
  </si>
  <si>
    <t>Dokumentationskonzept</t>
  </si>
  <si>
    <t>Designstudie</t>
  </si>
  <si>
    <t>05-Designstudie.pdf</t>
  </si>
  <si>
    <t>Prototype mit Dokumentation</t>
  </si>
  <si>
    <t>Aufgabenblatt 4 (5 Pkt)</t>
  </si>
  <si>
    <t>Pflichtenheft + Glossar</t>
  </si>
  <si>
    <t>Aufgabenblatt 5 (30 Pkt)</t>
  </si>
  <si>
    <t>Designmodell</t>
  </si>
  <si>
    <t>Testkonzept</t>
  </si>
  <si>
    <t>Aufgabenblatt 6 (35 Pkt)</t>
  </si>
  <si>
    <t>Stories, Testsuiten</t>
  </si>
  <si>
    <t>Weekly Builds</t>
  </si>
  <si>
    <t>KW 23</t>
  </si>
  <si>
    <t>KW 24</t>
  </si>
  <si>
    <t>-</t>
  </si>
  <si>
    <t>Feiertage</t>
  </si>
  <si>
    <t>Vorlesungstermine</t>
  </si>
  <si>
    <t>KW 25</t>
  </si>
  <si>
    <t>Alle Abgabetermine verstehen sich EOD (End of day)!</t>
  </si>
  <si>
    <t>TINF-2024</t>
  </si>
  <si>
    <t>12.03.</t>
  </si>
  <si>
    <t>KW 11</t>
  </si>
  <si>
    <t>19.03.</t>
  </si>
  <si>
    <t>26.03.</t>
  </si>
  <si>
    <t>02.04.</t>
  </si>
  <si>
    <t>23.04.</t>
  </si>
  <si>
    <t>09.04.</t>
  </si>
  <si>
    <t>30.04.</t>
  </si>
  <si>
    <t>07.05.</t>
  </si>
  <si>
    <t>21.05.</t>
  </si>
  <si>
    <t>(14.05.)</t>
  </si>
  <si>
    <t>Christi Himmelfahrt</t>
  </si>
  <si>
    <t>X (19.4.)</t>
  </si>
  <si>
    <t>X (26.4.)</t>
  </si>
  <si>
    <t>X (3.5.)</t>
  </si>
  <si>
    <t>X (10.5.)</t>
  </si>
  <si>
    <t>X (17.5.)</t>
  </si>
  <si>
    <t>Ab 19.04. Wöchentlich</t>
  </si>
  <si>
    <t>14.04.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</si>
</sst>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i/>
      <sz val="10"/>
      <name val="Arial"/>
      <family val="2"/>
      <charset val="1"/>
    </font>
    <font>
      <b/>
      <u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sz val="16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1"/>
      <color rgb="FF9C57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0000FF"/>
        <bgColor rgb="FF0000FF"/>
      </patternFill>
    </fill>
    <fill>
      <patternFill patternType="solid">
        <fgColor rgb="FF99CCFF"/>
        <bgColor rgb="FFCCCCFF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2" borderId="0" applyBorder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1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14" fontId="4" fillId="0" borderId="0" xfId="0" applyNumberFormat="1" applyFont="1"/>
    <xf numFmtId="14" fontId="0" fillId="0" borderId="0" xfId="0" applyNumberFormat="1"/>
    <xf numFmtId="14" fontId="5" fillId="0" borderId="0" xfId="0" applyNumberFormat="1" applyFont="1"/>
    <xf numFmtId="0" fontId="6" fillId="0" borderId="0" xfId="0" applyFont="1"/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7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center" vertical="top" wrapText="1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wrapText="1"/>
    </xf>
    <xf numFmtId="49" fontId="8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11" fillId="0" borderId="0" xfId="1" applyNumberFormat="1" applyFont="1" applyFill="1" applyBorder="1" applyAlignment="1" applyProtection="1">
      <alignment vertical="top" wrapText="1"/>
    </xf>
    <xf numFmtId="1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right" vertical="top" wrapText="1"/>
    </xf>
    <xf numFmtId="1" fontId="8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vertical="top" wrapText="1"/>
    </xf>
    <xf numFmtId="1" fontId="9" fillId="0" borderId="0" xfId="0" applyNumberFormat="1" applyFont="1" applyAlignment="1">
      <alignment horizontal="center" vertical="top" wrapText="1"/>
    </xf>
    <xf numFmtId="49" fontId="13" fillId="0" borderId="0" xfId="0" applyNumberFormat="1" applyFont="1" applyAlignment="1">
      <alignment vertical="top" wrapText="1"/>
    </xf>
    <xf numFmtId="49" fontId="13" fillId="0" borderId="0" xfId="0" applyNumberFormat="1" applyFont="1" applyAlignment="1">
      <alignment horizontal="center" vertical="top" wrapText="1"/>
    </xf>
    <xf numFmtId="1" fontId="13" fillId="0" borderId="0" xfId="0" applyNumberFormat="1" applyFont="1" applyAlignment="1">
      <alignment vertical="top" wrapText="1"/>
    </xf>
    <xf numFmtId="1" fontId="13" fillId="0" borderId="0" xfId="0" applyNumberFormat="1" applyFont="1" applyAlignment="1">
      <alignment horizontal="center" vertical="top" wrapText="1"/>
    </xf>
    <xf numFmtId="49" fontId="13" fillId="0" borderId="0" xfId="0" applyNumberFormat="1" applyFont="1" applyAlignment="1">
      <alignment wrapText="1"/>
    </xf>
    <xf numFmtId="14" fontId="1" fillId="0" borderId="0" xfId="0" applyNumberFormat="1" applyFont="1"/>
    <xf numFmtId="14" fontId="13" fillId="0" borderId="0" xfId="0" applyNumberFormat="1" applyFont="1"/>
    <xf numFmtId="14" fontId="14" fillId="0" borderId="0" xfId="0" applyNumberFormat="1" applyFont="1"/>
    <xf numFmtId="0" fontId="12" fillId="0" borderId="0" xfId="0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13" fillId="0" borderId="0" xfId="0" applyFont="1"/>
    <xf numFmtId="14" fontId="6" fillId="0" borderId="0" xfId="0" applyNumberFormat="1" applyFont="1"/>
    <xf numFmtId="0" fontId="0" fillId="0" borderId="0" xfId="0" applyAlignment="1">
      <alignment horizontal="right" vertical="top" wrapText="1"/>
    </xf>
    <xf numFmtId="0" fontId="0" fillId="0" borderId="0" xfId="0" applyAlignment="1">
      <alignment vertical="top"/>
    </xf>
    <xf numFmtId="1" fontId="8" fillId="0" borderId="0" xfId="0" applyNumberFormat="1" applyFont="1" applyAlignment="1">
      <alignment horizontal="right" vertical="top" wrapText="1"/>
    </xf>
    <xf numFmtId="1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1" fontId="11" fillId="0" borderId="0" xfId="1" applyNumberFormat="1" applyFont="1" applyFill="1" applyBorder="1" applyAlignment="1" applyProtection="1">
      <alignment horizontal="right" vertical="top" wrapText="1"/>
    </xf>
    <xf numFmtId="0" fontId="16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" fontId="1" fillId="0" borderId="0" xfId="0" applyNumberFormat="1" applyFont="1"/>
  </cellXfs>
  <cellStyles count="2">
    <cellStyle name="Standard" xfId="0" builtinId="0"/>
    <cellStyle name="TableStyleLight1" xfId="1" xr:uid="{00000000-000B-0000-0000-000036000000}"/>
  </cellStyles>
  <dxfs count="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zoomScaleNormal="100" workbookViewId="0">
      <selection activeCell="I22" sqref="I22"/>
    </sheetView>
  </sheetViews>
  <sheetFormatPr baseColWidth="10" defaultColWidth="8.85546875" defaultRowHeight="12.75" x14ac:dyDescent="0.2"/>
  <cols>
    <col min="1" max="1" width="21.7109375"/>
    <col min="2" max="3" width="10.5703125" style="1"/>
    <col min="4" max="4" width="12.42578125"/>
    <col min="5" max="5" width="11.5703125"/>
    <col min="6" max="6" width="11.85546875" customWidth="1"/>
    <col min="7" max="7" width="12.140625"/>
    <col min="8" max="8" width="10.5703125"/>
    <col min="9" max="9" width="11.85546875"/>
    <col min="10" max="10" width="11.28515625" customWidth="1"/>
    <col min="11" max="11" width="12.28515625"/>
    <col min="12" max="12" width="13.28515625" customWidth="1"/>
    <col min="13" max="13" width="12.5703125"/>
    <col min="14" max="14" width="11.42578125"/>
    <col min="15" max="15" width="6.5703125" customWidth="1"/>
    <col min="16" max="1025" width="11.42578125"/>
  </cols>
  <sheetData>
    <row r="1" spans="1:17" x14ac:dyDescent="0.2">
      <c r="A1" s="2" t="s">
        <v>66</v>
      </c>
      <c r="B1"/>
      <c r="C1"/>
    </row>
    <row r="2" spans="1:17" x14ac:dyDescent="0.2">
      <c r="A2" s="2"/>
      <c r="B2" s="2" t="s">
        <v>68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59</v>
      </c>
      <c r="O2" s="2" t="s">
        <v>60</v>
      </c>
      <c r="P2" s="2" t="s">
        <v>64</v>
      </c>
      <c r="Q2" s="2"/>
    </row>
    <row r="3" spans="1:17" x14ac:dyDescent="0.2">
      <c r="A3" s="43" t="s">
        <v>63</v>
      </c>
      <c r="B3" s="40" t="s">
        <v>67</v>
      </c>
      <c r="C3" s="2" t="s">
        <v>69</v>
      </c>
      <c r="D3" s="2" t="s">
        <v>70</v>
      </c>
      <c r="E3" s="40" t="s">
        <v>71</v>
      </c>
      <c r="F3" s="2" t="s">
        <v>73</v>
      </c>
      <c r="G3" s="60" t="s">
        <v>85</v>
      </c>
      <c r="H3" s="40" t="s">
        <v>72</v>
      </c>
      <c r="I3" s="2" t="s">
        <v>74</v>
      </c>
      <c r="J3" s="2" t="s">
        <v>75</v>
      </c>
      <c r="K3" s="40" t="s">
        <v>77</v>
      </c>
      <c r="L3" s="2" t="s">
        <v>76</v>
      </c>
      <c r="M3" s="2" t="s">
        <v>61</v>
      </c>
      <c r="N3" s="2" t="s">
        <v>61</v>
      </c>
      <c r="O3" s="2" t="s">
        <v>61</v>
      </c>
      <c r="P3" s="2" t="s">
        <v>61</v>
      </c>
      <c r="Q3" s="2"/>
    </row>
    <row r="4" spans="1:17" s="45" customFormat="1" ht="29.25" customHeight="1" x14ac:dyDescent="0.2">
      <c r="A4" s="45" t="s">
        <v>62</v>
      </c>
      <c r="B4" s="46"/>
      <c r="C4" s="46"/>
      <c r="H4" s="57"/>
      <c r="I4" s="47"/>
      <c r="K4" s="45" t="s">
        <v>78</v>
      </c>
      <c r="L4" s="57"/>
      <c r="O4" s="44"/>
      <c r="P4" s="44"/>
      <c r="Q4" s="44"/>
    </row>
    <row r="5" spans="1:17" x14ac:dyDescent="0.2">
      <c r="A5" s="17"/>
      <c r="B5" s="17" t="s">
        <v>11</v>
      </c>
      <c r="C5" s="17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s="2" t="s">
        <v>61</v>
      </c>
      <c r="N5" t="s">
        <v>61</v>
      </c>
      <c r="O5" s="2" t="s">
        <v>61</v>
      </c>
      <c r="P5" s="2" t="s">
        <v>61</v>
      </c>
      <c r="Q5" s="2"/>
    </row>
    <row r="7" spans="1:17" x14ac:dyDescent="0.2">
      <c r="A7" t="s">
        <v>12</v>
      </c>
      <c r="B7" s="5"/>
    </row>
    <row r="8" spans="1:17" x14ac:dyDescent="0.2">
      <c r="A8" t="s">
        <v>13</v>
      </c>
      <c r="B8" s="5"/>
      <c r="C8" s="5"/>
      <c r="D8" s="6"/>
      <c r="E8" s="7"/>
    </row>
    <row r="9" spans="1:17" x14ac:dyDescent="0.2">
      <c r="A9" t="s">
        <v>14</v>
      </c>
      <c r="B9"/>
      <c r="C9"/>
      <c r="E9" s="7"/>
      <c r="F9" s="7"/>
      <c r="G9" s="7"/>
    </row>
    <row r="10" spans="1:17" x14ac:dyDescent="0.2">
      <c r="A10" t="s">
        <v>15</v>
      </c>
      <c r="B10"/>
      <c r="C10"/>
      <c r="G10" s="5"/>
      <c r="H10" s="7"/>
      <c r="I10" s="7"/>
      <c r="J10" s="7"/>
      <c r="K10" s="7"/>
    </row>
    <row r="11" spans="1:17" x14ac:dyDescent="0.2">
      <c r="B11"/>
      <c r="C11"/>
    </row>
    <row r="12" spans="1:17" s="2" customFormat="1" x14ac:dyDescent="0.2">
      <c r="A12" t="s">
        <v>16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/>
      <c r="N12"/>
      <c r="O12"/>
    </row>
    <row r="13" spans="1:17" x14ac:dyDescent="0.2">
      <c r="A13" t="s">
        <v>17</v>
      </c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8"/>
    </row>
    <row r="15" spans="1:17" x14ac:dyDescent="0.2">
      <c r="A15" t="s">
        <v>18</v>
      </c>
      <c r="B15"/>
      <c r="C15"/>
      <c r="E15" s="11">
        <v>46114</v>
      </c>
      <c r="F15" s="12"/>
    </row>
    <row r="16" spans="1:17" x14ac:dyDescent="0.2">
      <c r="A16" t="s">
        <v>19</v>
      </c>
      <c r="B16"/>
      <c r="C16"/>
      <c r="G16" s="11">
        <v>46126</v>
      </c>
      <c r="H16" s="12"/>
    </row>
    <row r="17" spans="1:17" x14ac:dyDescent="0.2">
      <c r="A17" t="s">
        <v>20</v>
      </c>
      <c r="B17"/>
      <c r="C17"/>
      <c r="H17" s="11"/>
      <c r="I17" s="11">
        <v>46142</v>
      </c>
    </row>
    <row r="18" spans="1:17" x14ac:dyDescent="0.2">
      <c r="A18" t="s">
        <v>21</v>
      </c>
      <c r="B18"/>
      <c r="C18"/>
      <c r="K18" s="13"/>
      <c r="L18" s="42">
        <v>46163</v>
      </c>
      <c r="M18" s="42"/>
    </row>
    <row r="19" spans="1:17" x14ac:dyDescent="0.2">
      <c r="A19" s="14" t="s">
        <v>22</v>
      </c>
      <c r="B19"/>
      <c r="C19"/>
      <c r="M19" s="15"/>
      <c r="P19" s="49">
        <v>46194</v>
      </c>
    </row>
    <row r="21" spans="1:17" x14ac:dyDescent="0.2">
      <c r="A21" s="48" t="s">
        <v>23</v>
      </c>
      <c r="C21"/>
    </row>
    <row r="22" spans="1:17" x14ac:dyDescent="0.2">
      <c r="A22" t="s">
        <v>24</v>
      </c>
      <c r="B22" s="16">
        <v>46096</v>
      </c>
      <c r="D22" s="16"/>
    </row>
    <row r="23" spans="1:17" x14ac:dyDescent="0.2">
      <c r="A23" t="s">
        <v>25</v>
      </c>
      <c r="B23"/>
      <c r="C23" s="16">
        <v>46103</v>
      </c>
      <c r="D23" s="12"/>
    </row>
    <row r="24" spans="1:17" x14ac:dyDescent="0.2">
      <c r="A24" t="s">
        <v>26</v>
      </c>
      <c r="B24"/>
      <c r="C24" s="16"/>
      <c r="D24" s="16">
        <v>46110</v>
      </c>
      <c r="E24" s="12"/>
    </row>
    <row r="25" spans="1:17" x14ac:dyDescent="0.2">
      <c r="A25" t="s">
        <v>27</v>
      </c>
      <c r="B25"/>
      <c r="D25" s="12"/>
      <c r="E25" s="12">
        <v>46117</v>
      </c>
    </row>
    <row r="26" spans="1:17" x14ac:dyDescent="0.2">
      <c r="A26" t="s">
        <v>28</v>
      </c>
      <c r="B26"/>
      <c r="F26" s="12">
        <v>46124</v>
      </c>
      <c r="G26" s="12"/>
    </row>
    <row r="27" spans="1:17" x14ac:dyDescent="0.2">
      <c r="A27" t="s">
        <v>29</v>
      </c>
      <c r="B27"/>
      <c r="F27" s="1"/>
      <c r="G27" s="1" t="s">
        <v>79</v>
      </c>
      <c r="H27" s="1" t="s">
        <v>80</v>
      </c>
      <c r="I27" s="1" t="s">
        <v>81</v>
      </c>
      <c r="J27" s="1" t="s">
        <v>82</v>
      </c>
      <c r="K27" s="1" t="s">
        <v>83</v>
      </c>
    </row>
    <row r="29" spans="1:17" x14ac:dyDescent="0.2">
      <c r="A29" t="s">
        <v>30</v>
      </c>
      <c r="B29"/>
      <c r="K29" s="12"/>
      <c r="N29" s="12"/>
      <c r="O29" s="12"/>
      <c r="P29" s="41">
        <v>46194</v>
      </c>
    </row>
    <row r="30" spans="1:17" x14ac:dyDescent="0.2">
      <c r="B30"/>
      <c r="K30" s="12"/>
      <c r="N30" s="12"/>
      <c r="O30" s="12"/>
    </row>
    <row r="32" spans="1:17" ht="18" customHeight="1" x14ac:dyDescent="0.2">
      <c r="A32" s="58" t="s">
        <v>65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7" spans="4:4" x14ac:dyDescent="0.2">
      <c r="D37" s="1"/>
    </row>
  </sheetData>
  <mergeCells count="1">
    <mergeCell ref="A32:Q32"/>
  </mergeCells>
  <phoneticPr fontId="18" type="noConversion"/>
  <printOptions horizontalCentered="1" verticalCentered="1" gridLines="1"/>
  <pageMargins left="0.196527777777778" right="0.196527777777778" top="0.196527777777778" bottom="0.196527777777778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6"/>
  <sheetViews>
    <sheetView zoomScale="80" zoomScaleNormal="80" workbookViewId="0">
      <pane xSplit="1" topLeftCell="B1" activePane="topRight" state="frozen"/>
      <selection pane="topRight" activeCell="B28" sqref="B28"/>
    </sheetView>
  </sheetViews>
  <sheetFormatPr baseColWidth="10" defaultColWidth="8.85546875" defaultRowHeight="12.75" x14ac:dyDescent="0.2"/>
  <cols>
    <col min="1" max="1" width="32.7109375" style="19"/>
    <col min="2" max="2" width="20.42578125" style="19"/>
    <col min="3" max="3" width="18.7109375" style="20"/>
    <col min="4" max="8" width="11.42578125" style="19"/>
    <col min="9" max="9" width="3" style="19"/>
    <col min="10" max="10" width="11.42578125" style="19"/>
    <col min="11" max="11" width="19" style="20" customWidth="1"/>
    <col min="12" max="12" width="11.42578125" style="20"/>
    <col min="13" max="13" width="15.28515625" style="20" bestFit="1" customWidth="1"/>
    <col min="14" max="14" width="11.42578125" style="20"/>
    <col min="15" max="15" width="15.140625" style="20"/>
    <col min="16" max="16" width="11.42578125" style="20"/>
    <col min="17" max="17" width="18.140625" style="20" customWidth="1"/>
    <col min="18" max="18" width="11.42578125" style="20"/>
    <col min="19" max="19" width="12.28515625" style="19"/>
    <col min="20" max="20" width="11.42578125" style="19"/>
    <col min="21" max="21" width="49.85546875" style="19" customWidth="1"/>
    <col min="22" max="22" width="11.42578125" style="19"/>
    <col min="23" max="23" width="17.28515625" style="19"/>
    <col min="24" max="1025" width="11.42578125" style="4"/>
    <col min="1026" max="16384" width="8.85546875" style="4"/>
  </cols>
  <sheetData>
    <row r="1" spans="1:23" ht="20.25" x14ac:dyDescent="0.2">
      <c r="A1" s="18" t="s">
        <v>31</v>
      </c>
      <c r="C1" s="19"/>
    </row>
    <row r="2" spans="1:23" x14ac:dyDescent="0.2">
      <c r="C2" s="19"/>
    </row>
    <row r="3" spans="1:23" s="23" customFormat="1" ht="12.75" customHeight="1" x14ac:dyDescent="0.2">
      <c r="A3" s="21" t="s">
        <v>32</v>
      </c>
      <c r="B3" s="21" t="s">
        <v>33</v>
      </c>
      <c r="C3" s="22" t="s">
        <v>34</v>
      </c>
      <c r="D3" s="21"/>
      <c r="E3" s="21"/>
      <c r="F3" s="21" t="s">
        <v>35</v>
      </c>
      <c r="G3" s="21"/>
      <c r="H3" s="21" t="s">
        <v>36</v>
      </c>
      <c r="I3" s="21"/>
      <c r="J3" s="21"/>
      <c r="K3" s="22"/>
      <c r="L3" s="22"/>
      <c r="M3" s="22"/>
      <c r="N3" s="22"/>
      <c r="O3" s="22"/>
      <c r="P3" s="22"/>
      <c r="Q3" s="22"/>
      <c r="R3" s="22"/>
      <c r="S3" s="21"/>
      <c r="T3" s="21"/>
      <c r="U3" s="21"/>
      <c r="V3" s="21"/>
      <c r="W3" s="21"/>
    </row>
    <row r="4" spans="1:23" x14ac:dyDescent="0.2">
      <c r="C4" s="19"/>
      <c r="K4" s="54"/>
      <c r="M4" s="54"/>
    </row>
    <row r="5" spans="1:23" x14ac:dyDescent="0.2">
      <c r="A5" s="3" t="s">
        <v>37</v>
      </c>
      <c r="C5" s="27">
        <f>DEADLINE_A1</f>
        <v>46096</v>
      </c>
      <c r="F5" s="29"/>
      <c r="G5" s="29"/>
      <c r="H5" s="29"/>
      <c r="I5" s="29"/>
      <c r="J5" s="29"/>
      <c r="K5" s="31"/>
      <c r="L5" s="30"/>
      <c r="M5" s="31"/>
      <c r="N5" s="30"/>
      <c r="O5" s="31"/>
      <c r="P5" s="30"/>
      <c r="Q5" s="31"/>
      <c r="R5" s="30"/>
    </row>
    <row r="6" spans="1:23" x14ac:dyDescent="0.2">
      <c r="A6" s="19" t="s">
        <v>38</v>
      </c>
      <c r="C6" s="27"/>
      <c r="F6" s="29">
        <v>5</v>
      </c>
      <c r="G6" s="29"/>
      <c r="H6" s="29"/>
      <c r="I6" s="29"/>
      <c r="J6" s="29"/>
      <c r="K6" s="31"/>
      <c r="L6" s="30"/>
      <c r="M6" s="31"/>
      <c r="N6" s="30"/>
      <c r="O6" s="31"/>
      <c r="P6" s="30"/>
      <c r="Q6" s="31"/>
      <c r="R6" s="30"/>
    </row>
    <row r="7" spans="1:23" x14ac:dyDescent="0.2">
      <c r="A7" s="19" t="s">
        <v>39</v>
      </c>
      <c r="C7" s="27"/>
      <c r="F7" s="29">
        <v>1</v>
      </c>
      <c r="G7" s="29"/>
      <c r="H7" s="29"/>
      <c r="I7" s="29"/>
      <c r="J7" s="29"/>
      <c r="K7" s="31"/>
      <c r="L7" s="30"/>
      <c r="M7" s="31"/>
      <c r="N7" s="30"/>
      <c r="O7" s="31"/>
      <c r="P7" s="30"/>
      <c r="Q7" s="31"/>
      <c r="R7" s="30"/>
    </row>
    <row r="8" spans="1:23" x14ac:dyDescent="0.2">
      <c r="A8" s="19" t="s">
        <v>40</v>
      </c>
      <c r="C8" s="27"/>
      <c r="F8" s="29">
        <v>1</v>
      </c>
      <c r="G8" s="29"/>
      <c r="H8" s="29"/>
      <c r="I8" s="29"/>
      <c r="J8" s="29"/>
      <c r="K8" s="31"/>
      <c r="L8" s="30"/>
      <c r="M8" s="31"/>
      <c r="N8" s="30"/>
      <c r="O8" s="31"/>
      <c r="P8" s="30"/>
      <c r="Q8" s="31"/>
      <c r="R8" s="30"/>
    </row>
    <row r="9" spans="1:23" x14ac:dyDescent="0.2">
      <c r="A9" s="19" t="s">
        <v>41</v>
      </c>
      <c r="C9" s="27"/>
      <c r="F9" s="29">
        <v>3</v>
      </c>
      <c r="G9" s="29"/>
      <c r="H9" s="29"/>
      <c r="I9" s="29"/>
      <c r="J9" s="29"/>
      <c r="K9" s="31"/>
      <c r="L9" s="30"/>
      <c r="M9" s="31"/>
      <c r="N9" s="30"/>
      <c r="O9" s="31"/>
      <c r="P9" s="30"/>
      <c r="Q9" s="31"/>
      <c r="R9" s="30"/>
    </row>
    <row r="10" spans="1:23" x14ac:dyDescent="0.2">
      <c r="C10" s="27"/>
      <c r="F10" s="29"/>
      <c r="G10" s="29"/>
      <c r="H10" s="29"/>
      <c r="I10" s="29"/>
      <c r="J10" s="29"/>
      <c r="K10" s="31"/>
      <c r="L10" s="30"/>
      <c r="M10" s="31"/>
      <c r="N10" s="30"/>
      <c r="O10" s="31"/>
      <c r="P10" s="30"/>
      <c r="Q10" s="31"/>
      <c r="R10" s="30"/>
    </row>
    <row r="11" spans="1:23" x14ac:dyDescent="0.2">
      <c r="A11" s="3" t="s">
        <v>42</v>
      </c>
      <c r="C11" s="27">
        <f>DEADLINE_A2</f>
        <v>46103</v>
      </c>
      <c r="F11" s="29"/>
      <c r="G11" s="29"/>
      <c r="H11" s="29"/>
      <c r="I11" s="29"/>
      <c r="J11" s="29"/>
      <c r="K11" s="31"/>
      <c r="L11" s="30"/>
      <c r="M11" s="31"/>
      <c r="N11" s="30"/>
      <c r="O11" s="31"/>
      <c r="P11" s="30"/>
      <c r="Q11" s="31"/>
      <c r="R11" s="30"/>
    </row>
    <row r="12" spans="1:23" x14ac:dyDescent="0.2">
      <c r="A12" s="19" t="s">
        <v>43</v>
      </c>
      <c r="C12" s="27"/>
      <c r="F12" s="29">
        <v>8</v>
      </c>
      <c r="G12" s="29"/>
      <c r="H12" s="29"/>
      <c r="I12" s="29"/>
      <c r="J12" s="29"/>
      <c r="K12" s="31"/>
      <c r="L12" s="30"/>
      <c r="M12" s="31"/>
      <c r="N12" s="30"/>
      <c r="O12" s="31"/>
      <c r="P12" s="30"/>
      <c r="Q12" s="31"/>
      <c r="R12" s="30"/>
    </row>
    <row r="13" spans="1:23" x14ac:dyDescent="0.2">
      <c r="C13" s="28"/>
      <c r="F13" s="29"/>
      <c r="G13" s="29"/>
      <c r="H13" s="29"/>
      <c r="I13" s="29"/>
      <c r="J13" s="29"/>
      <c r="K13" s="31"/>
      <c r="L13" s="30"/>
      <c r="M13" s="31"/>
      <c r="N13" s="30"/>
      <c r="O13" s="31"/>
      <c r="P13" s="30"/>
      <c r="Q13" s="31"/>
      <c r="R13" s="30"/>
    </row>
    <row r="14" spans="1:23" x14ac:dyDescent="0.2">
      <c r="A14" s="3" t="s">
        <v>44</v>
      </c>
      <c r="C14" s="27">
        <f>DEADLINE_A3</f>
        <v>46110</v>
      </c>
      <c r="F14" s="29"/>
      <c r="G14" s="29"/>
      <c r="H14" s="29"/>
      <c r="I14" s="29"/>
      <c r="J14" s="29"/>
      <c r="K14" s="31"/>
      <c r="L14" s="30"/>
      <c r="M14" s="31"/>
      <c r="N14" s="30"/>
      <c r="O14" s="31"/>
      <c r="P14" s="30"/>
      <c r="Q14" s="31"/>
      <c r="R14" s="30"/>
    </row>
    <row r="15" spans="1:23" x14ac:dyDescent="0.2">
      <c r="A15" s="19" t="s">
        <v>45</v>
      </c>
      <c r="B15" s="19" t="s">
        <v>46</v>
      </c>
      <c r="C15" s="27"/>
      <c r="F15" s="31">
        <v>10</v>
      </c>
      <c r="G15" s="29"/>
      <c r="H15" s="29"/>
      <c r="I15" s="29"/>
      <c r="J15" s="29"/>
      <c r="K15" s="50"/>
      <c r="L15" s="30"/>
      <c r="M15" s="31"/>
      <c r="N15" s="30"/>
      <c r="O15" s="31"/>
      <c r="P15" s="30"/>
      <c r="Q15" s="31"/>
      <c r="R15" s="30"/>
    </row>
    <row r="16" spans="1:23" x14ac:dyDescent="0.2">
      <c r="A16" s="19" t="s">
        <v>47</v>
      </c>
      <c r="C16" s="27"/>
      <c r="F16" s="29">
        <v>2</v>
      </c>
      <c r="G16" s="29"/>
      <c r="H16" s="29"/>
      <c r="I16" s="29"/>
      <c r="J16" s="29"/>
      <c r="K16" s="50"/>
      <c r="L16" s="30"/>
      <c r="M16" s="31"/>
      <c r="N16" s="30"/>
      <c r="O16" s="31"/>
      <c r="P16" s="32"/>
      <c r="Q16" s="52"/>
      <c r="R16" s="32"/>
      <c r="S16" s="24"/>
      <c r="T16" s="24"/>
      <c r="U16" s="24"/>
      <c r="V16" s="24"/>
    </row>
    <row r="17" spans="1:23" x14ac:dyDescent="0.2">
      <c r="A17" s="19" t="s">
        <v>48</v>
      </c>
      <c r="B17" s="19" t="s">
        <v>49</v>
      </c>
      <c r="C17" s="27"/>
      <c r="F17" s="29">
        <v>8</v>
      </c>
      <c r="G17" s="29"/>
      <c r="H17" s="29"/>
      <c r="I17" s="29"/>
      <c r="J17" s="29"/>
      <c r="K17" s="50"/>
      <c r="L17" s="30"/>
      <c r="M17" s="31"/>
      <c r="N17" s="30"/>
      <c r="O17" s="31"/>
      <c r="P17" s="32"/>
      <c r="Q17" s="52"/>
      <c r="R17" s="32"/>
      <c r="S17" s="24"/>
      <c r="T17" s="24"/>
      <c r="U17" s="24"/>
      <c r="V17" s="24"/>
    </row>
    <row r="18" spans="1:23" x14ac:dyDescent="0.2">
      <c r="A18" s="19" t="s">
        <v>50</v>
      </c>
      <c r="C18" s="27"/>
      <c r="F18" s="29">
        <v>12</v>
      </c>
      <c r="G18" s="29"/>
      <c r="H18" s="29"/>
      <c r="I18" s="29"/>
      <c r="J18" s="29"/>
      <c r="K18" s="50"/>
      <c r="L18" s="53"/>
      <c r="M18" s="52"/>
      <c r="N18" s="53"/>
      <c r="O18" s="52"/>
      <c r="P18" s="53"/>
      <c r="Q18" s="52"/>
      <c r="R18" s="53"/>
      <c r="S18" s="24"/>
      <c r="T18" s="24"/>
      <c r="U18" s="24"/>
      <c r="V18" s="24"/>
    </row>
    <row r="19" spans="1:23" x14ac:dyDescent="0.2">
      <c r="C19" s="28"/>
      <c r="F19" s="29"/>
      <c r="G19" s="29"/>
      <c r="H19" s="29"/>
      <c r="I19" s="29"/>
      <c r="J19" s="51"/>
      <c r="K19" s="54"/>
      <c r="L19" s="53"/>
      <c r="M19" s="54"/>
      <c r="N19" s="53"/>
      <c r="O19" s="54"/>
      <c r="P19" s="53"/>
      <c r="Q19" s="54"/>
      <c r="R19" s="32"/>
      <c r="S19" s="24"/>
      <c r="T19" s="24"/>
      <c r="U19" s="24"/>
      <c r="V19" s="24"/>
    </row>
    <row r="20" spans="1:23" x14ac:dyDescent="0.2">
      <c r="A20" s="3" t="s">
        <v>51</v>
      </c>
      <c r="C20" s="27">
        <f>DEADLINE_A4</f>
        <v>46117</v>
      </c>
      <c r="F20" s="29"/>
      <c r="G20" s="29"/>
      <c r="H20" s="29"/>
      <c r="I20" s="29"/>
      <c r="J20" s="33"/>
      <c r="K20" s="52"/>
      <c r="L20" s="34"/>
      <c r="M20" s="52"/>
      <c r="N20" s="34"/>
      <c r="O20" s="52"/>
      <c r="P20" s="34"/>
      <c r="Q20" s="52"/>
      <c r="R20" s="34"/>
      <c r="S20" s="24"/>
      <c r="T20" s="25"/>
      <c r="U20" s="24"/>
      <c r="V20" s="25"/>
    </row>
    <row r="21" spans="1:23" x14ac:dyDescent="0.2">
      <c r="A21" s="19" t="s">
        <v>52</v>
      </c>
      <c r="C21" s="27"/>
      <c r="F21" s="29">
        <v>5</v>
      </c>
      <c r="G21" s="29"/>
      <c r="H21" s="29"/>
      <c r="I21" s="29"/>
      <c r="J21" s="29"/>
      <c r="K21" s="52"/>
      <c r="L21" s="32"/>
      <c r="M21" s="52"/>
      <c r="N21" s="32"/>
      <c r="O21" s="52"/>
      <c r="P21" s="32"/>
      <c r="Q21" s="52"/>
      <c r="R21" s="32"/>
      <c r="S21" s="24"/>
      <c r="T21" s="24"/>
      <c r="U21" s="24"/>
      <c r="V21" s="24"/>
    </row>
    <row r="22" spans="1:23" x14ac:dyDescent="0.2">
      <c r="C22" s="28"/>
      <c r="F22" s="29"/>
      <c r="G22" s="29"/>
      <c r="H22" s="29"/>
      <c r="I22" s="29"/>
      <c r="J22" s="29"/>
      <c r="K22" s="52"/>
      <c r="L22" s="32"/>
      <c r="M22" s="52"/>
      <c r="N22" s="32"/>
      <c r="O22" s="52"/>
      <c r="P22" s="32"/>
      <c r="Q22" s="52"/>
      <c r="R22" s="32"/>
      <c r="S22" s="24"/>
      <c r="T22" s="24"/>
      <c r="U22" s="24"/>
      <c r="V22" s="24"/>
    </row>
    <row r="23" spans="1:23" x14ac:dyDescent="0.2">
      <c r="A23" s="3" t="s">
        <v>53</v>
      </c>
      <c r="C23" s="27">
        <f>DEADLINE_A5</f>
        <v>46124</v>
      </c>
      <c r="F23" s="29"/>
      <c r="G23" s="29"/>
      <c r="H23" s="29"/>
      <c r="I23" s="29"/>
      <c r="J23" s="29"/>
      <c r="K23" s="52"/>
      <c r="L23" s="32"/>
      <c r="M23" s="52"/>
      <c r="N23" s="32"/>
      <c r="O23" s="52"/>
      <c r="P23" s="32"/>
      <c r="Q23" s="52"/>
      <c r="R23" s="32"/>
      <c r="S23" s="24"/>
      <c r="T23" s="24"/>
      <c r="U23" s="24"/>
      <c r="V23" s="24"/>
    </row>
    <row r="24" spans="1:23" ht="15" x14ac:dyDescent="0.2">
      <c r="A24" s="19" t="s">
        <v>54</v>
      </c>
      <c r="C24" s="28"/>
      <c r="F24" s="29">
        <v>20</v>
      </c>
      <c r="G24" s="29"/>
      <c r="H24" s="29"/>
      <c r="I24" s="29"/>
      <c r="J24" s="29"/>
      <c r="K24" s="55"/>
      <c r="L24" s="32"/>
      <c r="M24" s="55"/>
      <c r="N24" s="32"/>
      <c r="O24" s="55"/>
      <c r="P24" s="32"/>
      <c r="Q24" s="55"/>
      <c r="R24" s="32"/>
      <c r="S24" s="24"/>
      <c r="T24" s="24"/>
      <c r="U24" s="26"/>
      <c r="V24" s="26"/>
    </row>
    <row r="25" spans="1:23" ht="15" x14ac:dyDescent="0.2">
      <c r="A25" s="19" t="s">
        <v>55</v>
      </c>
      <c r="C25" s="27"/>
      <c r="F25" s="29">
        <v>10</v>
      </c>
      <c r="G25" s="29"/>
      <c r="H25" s="29"/>
      <c r="I25" s="29"/>
      <c r="J25" s="29"/>
      <c r="K25" s="52"/>
      <c r="L25" s="32"/>
      <c r="M25" s="52"/>
      <c r="N25" s="32"/>
      <c r="O25" s="56"/>
      <c r="P25" s="32"/>
      <c r="Q25" s="52"/>
      <c r="R25" s="32"/>
      <c r="S25" s="24"/>
      <c r="T25" s="24"/>
      <c r="U25" s="24"/>
      <c r="V25" s="24"/>
    </row>
    <row r="26" spans="1:23" x14ac:dyDescent="0.2">
      <c r="C26" s="28"/>
      <c r="F26" s="29"/>
      <c r="G26" s="29"/>
      <c r="H26" s="29"/>
      <c r="I26" s="29"/>
      <c r="J26" s="29"/>
      <c r="K26" s="52"/>
      <c r="L26" s="32"/>
      <c r="M26" s="52"/>
      <c r="N26" s="32"/>
      <c r="O26" s="52"/>
      <c r="P26" s="32"/>
      <c r="Q26" s="52"/>
      <c r="R26" s="32"/>
      <c r="S26" s="24"/>
      <c r="T26" s="24"/>
      <c r="U26" s="24"/>
      <c r="V26" s="24"/>
    </row>
    <row r="27" spans="1:23" x14ac:dyDescent="0.2">
      <c r="A27" s="3" t="s">
        <v>56</v>
      </c>
      <c r="C27" s="19"/>
      <c r="F27" s="29"/>
      <c r="G27" s="29"/>
      <c r="H27" s="29"/>
      <c r="I27" s="29"/>
      <c r="J27" s="29"/>
      <c r="K27" s="52"/>
      <c r="L27" s="32"/>
      <c r="M27" s="52"/>
      <c r="N27" s="32"/>
      <c r="O27" s="52"/>
      <c r="P27" s="32"/>
      <c r="Q27" s="52"/>
      <c r="R27" s="32"/>
      <c r="S27" s="24"/>
      <c r="T27" s="24"/>
      <c r="U27" s="24"/>
      <c r="V27" s="24"/>
    </row>
    <row r="28" spans="1:23" ht="25.5" x14ac:dyDescent="0.2">
      <c r="A28" s="19" t="s">
        <v>57</v>
      </c>
      <c r="C28" s="20" t="s">
        <v>84</v>
      </c>
      <c r="F28" s="29">
        <v>10</v>
      </c>
      <c r="G28" s="29"/>
      <c r="H28" s="29"/>
      <c r="I28" s="29"/>
      <c r="J28" s="29"/>
      <c r="K28" s="29"/>
      <c r="L28" s="32"/>
      <c r="M28" s="29"/>
      <c r="N28" s="32"/>
      <c r="O28" s="29"/>
      <c r="P28" s="32"/>
      <c r="Q28" s="29"/>
      <c r="R28" s="32"/>
      <c r="S28" s="24"/>
      <c r="T28" s="24"/>
      <c r="U28" s="24"/>
      <c r="V28" s="24"/>
    </row>
    <row r="29" spans="1:23" ht="25.5" x14ac:dyDescent="0.2">
      <c r="A29" s="19" t="s">
        <v>58</v>
      </c>
      <c r="C29" s="20" t="s">
        <v>84</v>
      </c>
      <c r="F29" s="29">
        <v>25</v>
      </c>
      <c r="G29" s="29"/>
      <c r="H29" s="29"/>
      <c r="I29" s="29"/>
      <c r="J29" s="29"/>
      <c r="K29" s="29"/>
      <c r="L29" s="30"/>
      <c r="M29" s="29"/>
      <c r="N29" s="30"/>
      <c r="O29" s="29"/>
      <c r="P29" s="30"/>
      <c r="Q29" s="29"/>
      <c r="R29" s="30"/>
    </row>
    <row r="30" spans="1:23" x14ac:dyDescent="0.2">
      <c r="F30" s="29"/>
      <c r="G30" s="29"/>
      <c r="H30" s="29"/>
      <c r="I30" s="29"/>
      <c r="J30" s="29"/>
      <c r="K30" s="29"/>
      <c r="L30" s="30"/>
      <c r="M30" s="29"/>
      <c r="N30" s="30"/>
      <c r="O30" s="29"/>
      <c r="P30" s="30"/>
      <c r="Q30" s="29"/>
      <c r="R30" s="30"/>
    </row>
    <row r="31" spans="1:23" s="39" customFormat="1" x14ac:dyDescent="0.2">
      <c r="A31" s="35"/>
      <c r="B31" s="35"/>
      <c r="C31" s="36"/>
      <c r="D31" s="35"/>
      <c r="E31" s="35"/>
      <c r="F31" s="37">
        <f>SUM(F5:F29)</f>
        <v>120</v>
      </c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8"/>
      <c r="S31" s="35"/>
      <c r="T31" s="35"/>
      <c r="U31" s="35"/>
      <c r="V31" s="35"/>
      <c r="W31" s="35"/>
    </row>
    <row r="32" spans="1:23" ht="12.75" customHeight="1" x14ac:dyDescent="0.2"/>
    <row r="34" spans="5:21" x14ac:dyDescent="0.2">
      <c r="K34" s="1"/>
      <c r="O34" s="1"/>
    </row>
    <row r="35" spans="5:21" x14ac:dyDescent="0.2">
      <c r="K35" s="1"/>
    </row>
    <row r="37" spans="5:21" x14ac:dyDescent="0.2">
      <c r="U37" s="20"/>
    </row>
    <row r="38" spans="5:21" x14ac:dyDescent="0.2">
      <c r="U38" s="20"/>
    </row>
    <row r="39" spans="5:21" x14ac:dyDescent="0.2">
      <c r="U39" s="20"/>
    </row>
    <row r="40" spans="5:21" x14ac:dyDescent="0.2">
      <c r="U40" s="20"/>
    </row>
    <row r="41" spans="5:21" x14ac:dyDescent="0.2">
      <c r="E41" s="16"/>
      <c r="F41" s="16"/>
      <c r="G41"/>
      <c r="H41"/>
      <c r="I41"/>
      <c r="J41"/>
      <c r="K41"/>
      <c r="L41"/>
      <c r="M41"/>
    </row>
    <row r="42" spans="5:21" x14ac:dyDescent="0.2">
      <c r="E42" s="16"/>
      <c r="F42" s="16"/>
      <c r="G42" s="12"/>
      <c r="H42"/>
      <c r="I42"/>
      <c r="J42"/>
      <c r="K42"/>
      <c r="L42"/>
      <c r="M42"/>
    </row>
    <row r="43" spans="5:21" x14ac:dyDescent="0.2">
      <c r="E43" s="1"/>
      <c r="F43" s="16"/>
      <c r="G43" s="12"/>
      <c r="H43" s="12"/>
      <c r="I43"/>
      <c r="J43"/>
      <c r="K43"/>
      <c r="L43"/>
      <c r="M43"/>
    </row>
    <row r="44" spans="5:21" x14ac:dyDescent="0.2">
      <c r="E44" s="1"/>
      <c r="F44" s="1"/>
      <c r="G44" s="12"/>
      <c r="H44" s="12"/>
      <c r="I44"/>
      <c r="J44"/>
      <c r="K44"/>
      <c r="L44"/>
      <c r="M44"/>
    </row>
    <row r="45" spans="5:21" x14ac:dyDescent="0.2">
      <c r="E45" s="1"/>
      <c r="F45" s="1"/>
      <c r="G45"/>
      <c r="H45"/>
      <c r="I45" s="12"/>
      <c r="J45" s="12"/>
      <c r="K45"/>
      <c r="L45"/>
      <c r="M45"/>
    </row>
    <row r="46" spans="5:21" x14ac:dyDescent="0.2">
      <c r="E46" s="1"/>
      <c r="F46" s="1"/>
      <c r="G46"/>
      <c r="H46"/>
      <c r="I46" s="1"/>
      <c r="J46" s="1"/>
      <c r="K46" s="1"/>
      <c r="L46" s="1"/>
      <c r="M46" s="1"/>
    </row>
  </sheetData>
  <conditionalFormatting sqref="K34:K35">
    <cfRule type="cellIs" dxfId="7" priority="1" operator="equal">
      <formula>"M"</formula>
    </cfRule>
    <cfRule type="cellIs" dxfId="6" priority="2" operator="equal">
      <formula>"N"</formula>
    </cfRule>
    <cfRule type="cellIs" dxfId="5" priority="3" operator="equal">
      <formula>"J"</formula>
    </cfRule>
    <cfRule type="cellIs" dxfId="4" priority="4" operator="equal">
      <formula>"O"</formula>
    </cfRule>
  </conditionalFormatting>
  <conditionalFormatting sqref="O34">
    <cfRule type="cellIs" dxfId="3" priority="7" operator="equal">
      <formula>"M"</formula>
    </cfRule>
    <cfRule type="cellIs" dxfId="2" priority="8" operator="equal">
      <formula>"N"</formula>
    </cfRule>
    <cfRule type="cellIs" dxfId="1" priority="9" operator="equal">
      <formula>"J"</formula>
    </cfRule>
    <cfRule type="cellIs" dxfId="0" priority="10" operator="equal">
      <formula>"O"</formula>
    </cfRule>
  </conditionalFormatting>
  <printOptions horizontalCentered="1" verticalCentered="1"/>
  <pageMargins left="0.78749999999999998" right="0.78749999999999998" top="0.98402777777777795" bottom="0.9840277777777779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16</vt:i4>
      </vt:variant>
    </vt:vector>
  </HeadingPairs>
  <TitlesOfParts>
    <vt:vector size="18" baseType="lpstr">
      <vt:lpstr>Timeline</vt:lpstr>
      <vt:lpstr>Aufgaben</vt:lpstr>
      <vt:lpstr>DEADLINE_A1</vt:lpstr>
      <vt:lpstr>DEADLINE_A2</vt:lpstr>
      <vt:lpstr>DEADLINE_A3</vt:lpstr>
      <vt:lpstr>DEADLINE_A4</vt:lpstr>
      <vt:lpstr>DEADLINE_A5</vt:lpstr>
      <vt:lpstr>DEADLINE_A6_1</vt:lpstr>
      <vt:lpstr>DEADLINE_A6_2</vt:lpstr>
      <vt:lpstr>DEADLINE_A6_3</vt:lpstr>
      <vt:lpstr>DEADLINE_A6_4</vt:lpstr>
      <vt:lpstr>DEADLINE_A7_END</vt:lpstr>
      <vt:lpstr>Aufgaben!Druckbereich</vt:lpstr>
      <vt:lpstr>Timeline!Druckbereich</vt:lpstr>
      <vt:lpstr>REVIEW_DATE_1</vt:lpstr>
      <vt:lpstr>REVIEW_DATE_2</vt:lpstr>
      <vt:lpstr>REVIEW_DATE_3</vt:lpstr>
      <vt:lpstr>REVIEW_DATE_4</vt:lpstr>
    </vt:vector>
  </TitlesOfParts>
  <Company>DHBW Horb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cchichlow@hb.dhbw-stuttgart.de</dc:creator>
  <cp:lastModifiedBy>Charlotte</cp:lastModifiedBy>
  <cp:revision>2</cp:revision>
  <dcterms:created xsi:type="dcterms:W3CDTF">2005-01-12T09:28:02Z</dcterms:created>
  <dcterms:modified xsi:type="dcterms:W3CDTF">2026-02-27T15:52:53Z</dcterms:modified>
  <dc:language>de-DE</dc:language>
</cp:coreProperties>
</file>